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onBanh" sheetId="1" r:id="rId1"/>
    <sheet name="BangGia" sheetId="2" r:id="rId2"/>
  </sheets>
  <definedNames>
    <definedName name="_xlnm._FilterDatabase" localSheetId="0" hidden="1">DonBanh!$A$1:$G$16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<sst xmlns="http://schemas.openxmlformats.org/spreadsheetml/2006/main" count="69" uniqueCount="51">
  <si>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ma_dh</t>
  </si>
  <si>
    <t>ngay_dat</t>
  </si>
  <si>
    <t>ma_banh</t>
  </si>
  <si>
    <t>so_cai</t>
  </si>
  <si>
    <t>ten_banh</t>
  </si>
  <si>
    <t>gia_banh</t>
  </si>
  <si>
    <t>tong_tien</t>
  </si>
  <si>
    <t>DB001</t>
  </si>
  <si>
    <t>2025-08-01</t>
  </si>
  <si>
    <t>BK01</t>
  </si>
  <si>
    <t>DB002</t>
  </si>
  <si>
    <t>2025-08-02</t>
  </si>
  <si>
    <t>BG01</t>
  </si>
  <si>
    <t>DB003</t>
  </si>
  <si>
    <t>2025-08-03</t>
  </si>
  <si>
    <t>BK02</t>
  </si>
  <si>
    <t>DB004</t>
  </si>
  <si>
    <t>2025-08-04</t>
  </si>
  <si>
    <t>DB005</t>
  </si>
  <si>
    <t>2025-08-05</t>
  </si>
  <si>
    <t>DB006</t>
  </si>
  <si>
    <t>2025-08-06</t>
  </si>
  <si>
    <t>DB007</t>
  </si>
  <si>
    <t>2025-08-07</t>
  </si>
  <si>
    <t>BG02</t>
  </si>
  <si>
    <t>DB008</t>
  </si>
  <si>
    <t>2025-08-08</t>
  </si>
  <si>
    <t>DB009</t>
  </si>
  <si>
    <t>2025-08-09</t>
  </si>
  <si>
    <t>BN01</t>
  </si>
  <si>
    <t>DB010</t>
  </si>
  <si>
    <t>2025-08-10</t>
  </si>
  <si>
    <t>BQ01</t>
  </si>
  <si>
    <t>DB011</t>
  </si>
  <si>
    <t>2025-08-11</t>
  </si>
  <si>
    <t>DB012</t>
  </si>
  <si>
    <t>2025-08-12</t>
  </si>
  <si>
    <t>DB013</t>
  </si>
  <si>
    <t>2025-08-13</t>
  </si>
  <si>
    <t>DB014</t>
  </si>
  <si>
    <t>2025-08-14</t>
  </si>
  <si>
    <t>DB015</t>
  </si>
  <si>
    <t>2025-08-15</t>
  </si>
  <si>
    <t>BN02</t>
  </si>
  <si>
    <t>Banh mi bo</t>
  </si>
  <si>
    <t>Banh su kem</t>
  </si>
  <si>
    <t>Banh bong lan</t>
  </si>
  <si>
    <t>Banh flan</t>
  </si>
  <si>
    <t>Banh kem dau</t>
  </si>
  <si>
    <t>Banh kem socola</t>
  </si>
  <si>
    <t>Banh quy bo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</si>
</sst>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G25" sqref="G25"/>
    </sheetView>
  </sheetViews>
  <sheetFormatPr defaultColWidth="9" defaultRowHeight="14.4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>VLOOKUP(C2,BangGia!$A$2:$C$8,2,FALSE)</f>
        <v>Banh kem dau</v>
      </c>
      <c r="F2">
        <f>VLOOKUP(C2,BangGia!$A$2:$C$8,3,FALSE)</f>
        <v>45000</v>
      </c>
      <c r="G2">
        <f>(D2*F2)</f>
        <v>180000</v>
      </c>
    </row>
    <row r="3" spans="1:7">
      <c r="A3" t="s">
        <v>10</v>
      </c>
      <c r="B3" t="s">
        <v>11</v>
      </c>
      <c r="C3" t="s">
        <v>12</v>
      </c>
      <c r="D3">
        <v>5</v>
      </c>
      <c r="E3" t="str">
        <f>VLOOKUP(C3,BangGia!$A$2:$C$8,2,FALSE)</f>
        <v>Banh bong lan</v>
      </c>
      <c r="F3">
        <f>VLOOKUP(C3,BangGia!$A$2:$C$8,3,FALSE)</f>
        <v>35000</v>
      </c>
      <c r="G3">
        <f t="shared" ref="G3:G16" si="0">(D3*F3)</f>
        <v>175000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>VLOOKUP(C4,BangGia!$A$2:$C$8,2,FALSE)</f>
        <v>Banh kem socola</v>
      </c>
      <c r="F4">
        <f>VLOOKUP(C4,BangGia!$A$2:$C$8,3,FALSE)</f>
        <v>50000</v>
      </c>
      <c r="G4">
        <f t="shared" si="0"/>
        <v>150000</v>
      </c>
    </row>
    <row r="5" spans="1:7">
      <c r="A5" t="s">
        <v>16</v>
      </c>
      <c r="B5" t="s">
        <v>17</v>
      </c>
      <c r="C5" t="s">
        <v>15</v>
      </c>
      <c r="D5">
        <v>4</v>
      </c>
      <c r="E5" t="str">
        <f>VLOOKUP(C5,BangGia!$A$2:$C$8,2,FALSE)</f>
        <v>Banh kem socola</v>
      </c>
      <c r="F5">
        <f>VLOOKUP(C5,BangGia!$A$2:$C$8,3,FALSE)</f>
        <v>50000</v>
      </c>
      <c r="G5">
        <f t="shared" si="0"/>
        <v>200000</v>
      </c>
    </row>
    <row r="6" hidden="1" spans="1:7">
      <c r="A6" t="s">
        <v>18</v>
      </c>
      <c r="B6" t="s">
        <v>19</v>
      </c>
      <c r="C6" t="s">
        <v>12</v>
      </c>
      <c r="D6">
        <v>4</v>
      </c>
      <c r="E6" t="str">
        <f>VLOOKUP(C6,BangGia!$A$2:$C$8,2,FALSE)</f>
        <v>Banh bong lan</v>
      </c>
      <c r="F6">
        <f>VLOOKUP(C6,BangGia!$A$2:$C$8,3,FALSE)</f>
        <v>35000</v>
      </c>
      <c r="G6">
        <f t="shared" si="0"/>
        <v>140000</v>
      </c>
    </row>
    <row r="7" hidden="1" spans="1:7">
      <c r="A7" t="s">
        <v>20</v>
      </c>
      <c r="B7" t="s">
        <v>21</v>
      </c>
      <c r="C7" t="s">
        <v>9</v>
      </c>
      <c r="D7">
        <v>2</v>
      </c>
      <c r="E7" t="str">
        <f>VLOOKUP(C7,BangGia!$A$2:$C$8,2,FALSE)</f>
        <v>Banh kem dau</v>
      </c>
      <c r="F7">
        <f>VLOOKUP(C7,BangGia!$A$2:$C$8,3,FALSE)</f>
        <v>45000</v>
      </c>
      <c r="G7">
        <f t="shared" si="0"/>
        <v>90000</v>
      </c>
    </row>
    <row r="8" hidden="1" spans="1:7">
      <c r="A8" t="s">
        <v>22</v>
      </c>
      <c r="B8" t="s">
        <v>23</v>
      </c>
      <c r="C8" t="s">
        <v>24</v>
      </c>
      <c r="D8">
        <v>4</v>
      </c>
      <c r="E8" t="str">
        <f>VLOOKUP(C8,BangGia!$A$2:$C$8,2,FALSE)</f>
        <v>Banh flan</v>
      </c>
      <c r="F8">
        <f>VLOOKUP(C8,BangGia!$A$2:$C$8,3,FALSE)</f>
        <v>18000</v>
      </c>
      <c r="G8">
        <f t="shared" si="0"/>
        <v>72000</v>
      </c>
    </row>
    <row r="9" spans="1:7">
      <c r="A9" t="s">
        <v>25</v>
      </c>
      <c r="B9" t="s">
        <v>26</v>
      </c>
      <c r="C9" t="s">
        <v>9</v>
      </c>
      <c r="D9">
        <v>4</v>
      </c>
      <c r="E9" t="str">
        <f>VLOOKUP(C9,BangGia!$A$2:$C$8,2,FALSE)</f>
        <v>Banh kem dau</v>
      </c>
      <c r="F9">
        <f>VLOOKUP(C9,BangGia!$A$2:$C$8,3,FALSE)</f>
        <v>45000</v>
      </c>
      <c r="G9">
        <f t="shared" si="0"/>
        <v>180000</v>
      </c>
    </row>
    <row r="10" hidden="1" spans="1:7">
      <c r="A10" t="s">
        <v>27</v>
      </c>
      <c r="B10" t="s">
        <v>28</v>
      </c>
      <c r="C10" t="s">
        <v>29</v>
      </c>
      <c r="D10">
        <v>4</v>
      </c>
      <c r="E10" t="str">
        <f>VLOOKUP(C10,BangGia!$A$2:$C$8,2,FALSE)</f>
        <v>Banh mi bo</v>
      </c>
      <c r="F10">
        <f>VLOOKUP(C10,BangGia!$A$2:$C$8,3,FALSE)</f>
        <v>15000</v>
      </c>
      <c r="G10">
        <f t="shared" si="0"/>
        <v>60000</v>
      </c>
    </row>
    <row r="11" hidden="1" spans="1:7">
      <c r="A11" t="s">
        <v>30</v>
      </c>
      <c r="B11" t="s">
        <v>31</v>
      </c>
      <c r="C11" t="s">
        <v>32</v>
      </c>
      <c r="D11">
        <v>1</v>
      </c>
      <c r="E11" t="str">
        <f>VLOOKUP(C11,BangGia!$A$2:$C$8,2,FALSE)</f>
        <v>Banh quy bo</v>
      </c>
      <c r="F11">
        <f>VLOOKUP(C11,BangGia!$A$2:$C$8,3,FALSE)</f>
        <v>30000</v>
      </c>
      <c r="G11">
        <f t="shared" si="0"/>
        <v>30000</v>
      </c>
    </row>
    <row r="12" hidden="1" spans="1:7">
      <c r="A12" t="s">
        <v>33</v>
      </c>
      <c r="B12" t="s">
        <v>34</v>
      </c>
      <c r="C12" t="s">
        <v>32</v>
      </c>
      <c r="D12">
        <v>4</v>
      </c>
      <c r="E12" t="str">
        <f>VLOOKUP(C12,BangGia!$A$2:$C$8,2,FALSE)</f>
        <v>Banh quy bo</v>
      </c>
      <c r="F12">
        <f>VLOOKUP(C12,BangGia!$A$2:$C$8,3,FALSE)</f>
        <v>30000</v>
      </c>
      <c r="G12">
        <f t="shared" si="0"/>
        <v>120000</v>
      </c>
    </row>
    <row r="13" hidden="1" spans="1:7">
      <c r="A13" t="s">
        <v>35</v>
      </c>
      <c r="B13" t="s">
        <v>36</v>
      </c>
      <c r="C13" t="s">
        <v>12</v>
      </c>
      <c r="D13">
        <v>4</v>
      </c>
      <c r="E13" t="str">
        <f>VLOOKUP(C13,BangGia!$A$2:$C$8,2,FALSE)</f>
        <v>Banh bong lan</v>
      </c>
      <c r="F13">
        <f>VLOOKUP(C13,BangGia!$A$2:$C$8,3,FALSE)</f>
        <v>35000</v>
      </c>
      <c r="G13">
        <f t="shared" si="0"/>
        <v>140000</v>
      </c>
    </row>
    <row r="14" spans="1:7">
      <c r="A14" t="s">
        <v>37</v>
      </c>
      <c r="B14" t="s">
        <v>38</v>
      </c>
      <c r="C14" t="s">
        <v>15</v>
      </c>
      <c r="D14">
        <v>4</v>
      </c>
      <c r="E14" t="str">
        <f>VLOOKUP(C14,BangGia!$A$2:$C$8,2,FALSE)</f>
        <v>Banh kem socola</v>
      </c>
      <c r="F14">
        <f>VLOOKUP(C14,BangGia!$A$2:$C$8,3,FALSE)</f>
        <v>50000</v>
      </c>
      <c r="G14">
        <f t="shared" si="0"/>
        <v>200000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>VLOOKUP(C15,BangGia!$A$2:$C$8,2,FALSE)</f>
        <v>Banh kem dau</v>
      </c>
      <c r="F15">
        <f>VLOOKUP(C15,BangGia!$A$2:$C$8,3,FALSE)</f>
        <v>45000</v>
      </c>
      <c r="G15">
        <f t="shared" si="0"/>
        <v>180000</v>
      </c>
    </row>
    <row r="16" hidden="1" spans="1:7">
      <c r="A16" t="s">
        <v>41</v>
      </c>
      <c r="B16" t="s">
        <v>42</v>
      </c>
      <c r="C16" t="s">
        <v>43</v>
      </c>
      <c r="D16">
        <v>2</v>
      </c>
      <c r="E16" t="str">
        <f>VLOOKUP(C16,BangGia!$A$2:$C$8,2,FALSE)</f>
        <v>Banh su kem</v>
      </c>
      <c r="F16">
        <f>VLOOKUP(C16,BangGia!$A$2:$C$8,3,FALSE)</f>
        <v>20000</v>
      </c>
      <c r="G16">
        <f t="shared" si="0"/>
        <v>40000</v>
      </c>
    </row>
  </sheetData>
  <autoFilter xmlns:etc="http://www.wps.cn/officeDocument/2017/etCustomData" ref="A1:G16" etc:filterBottomFollowUsedRange="0">
    <filterColumn colId="6">
      <filters>
        <filter val="150000"/>
        <filter val="175000"/>
        <filter val="180000"/>
        <filter val="20000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29</v>
      </c>
      <c r="B2" t="s">
        <v>44</v>
      </c>
      <c r="C2">
        <v>15000</v>
      </c>
    </row>
    <row r="3" spans="1:3">
      <c r="A3" t="s">
        <v>43</v>
      </c>
      <c r="B3" t="s">
        <v>45</v>
      </c>
      <c r="C3">
        <v>20000</v>
      </c>
    </row>
    <row r="4" spans="1:3">
      <c r="A4" t="s">
        <v>12</v>
      </c>
      <c r="B4" t="s">
        <v>46</v>
      </c>
      <c r="C4">
        <v>35000</v>
      </c>
    </row>
    <row r="5" spans="1:3">
      <c r="A5" t="s">
        <v>24</v>
      </c>
      <c r="B5" t="s">
        <v>47</v>
      </c>
      <c r="C5">
        <v>18000</v>
      </c>
    </row>
    <row r="6" spans="1:3">
      <c r="A6" t="s">
        <v>9</v>
      </c>
      <c r="B6" t="s">
        <v>48</v>
      </c>
      <c r="C6">
        <v>45000</v>
      </c>
    </row>
    <row r="7" spans="1:3">
      <c r="A7" t="s">
        <v>15</v>
      </c>
      <c r="B7" t="s">
        <v>49</v>
      </c>
      <c r="C7">
        <v>50000</v>
      </c>
    </row>
    <row r="8" spans="1:3">
      <c r="A8" t="s">
        <v>32</v>
      </c>
      <c r="B8" t="s">
        <v>50</v>
      </c>
      <c r="C8">
        <v>30000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DonBanh</vt:lpstr>
      <vt:lpstr>BangGia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 Duong</cp:lastModifiedBy>
  <dcterms:created xsi:type="dcterms:W3CDTF">2026-10-12T01:38:00Z</dcterms:created>
  <dcterms:modified xsi:type="dcterms:W3CDTF">2026-10-15T01:58:10Z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9DEF1C3B22A1413A990EE3C0FB8A6397_12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